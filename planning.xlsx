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prj\fhu\vmback\"/>
    </mc:Choice>
  </mc:AlternateContent>
  <xr:revisionPtr revIDLastSave="0" documentId="13_ncr:1_{22A31739-31BB-4585-808A-52F9105B16B8}" xr6:coauthVersionLast="47" xr6:coauthVersionMax="47" xr10:uidLastSave="{00000000-0000-0000-0000-000000000000}"/>
  <bookViews>
    <workbookView xWindow="2115" yWindow="2115" windowWidth="23175" windowHeight="182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5" i="1"/>
  <c r="I13" i="1"/>
  <c r="I12" i="1"/>
  <c r="I11" i="1"/>
  <c r="I8" i="1"/>
  <c r="I7" i="1"/>
  <c r="I2" i="1"/>
  <c r="G5" i="1"/>
  <c r="F25" i="1"/>
  <c r="E26" i="1"/>
  <c r="H26" i="1"/>
  <c r="J26" i="1"/>
  <c r="C11" i="1"/>
  <c r="C7" i="1"/>
  <c r="C3" i="1"/>
  <c r="C24" i="1"/>
  <c r="F24" i="1" s="1"/>
  <c r="C22" i="1"/>
  <c r="C12" i="1"/>
  <c r="C16" i="1"/>
  <c r="C13" i="1"/>
  <c r="C26" i="1" s="1"/>
  <c r="C4" i="1"/>
  <c r="G4" i="1" s="1"/>
  <c r="C18" i="1"/>
  <c r="C15" i="1"/>
  <c r="D14" i="1"/>
  <c r="C6" i="1"/>
  <c r="D6" i="1" s="1"/>
  <c r="D26" i="1" s="1"/>
  <c r="I26" i="1" l="1"/>
  <c r="F26" i="1"/>
  <c r="G26" i="1"/>
  <c r="K26" i="1" l="1"/>
</calcChain>
</file>

<file path=xl/sharedStrings.xml><?xml version="1.0" encoding="utf-8"?>
<sst xmlns="http://schemas.openxmlformats.org/spreadsheetml/2006/main" count="58" uniqueCount="58">
  <si>
    <t>VM name</t>
  </si>
  <si>
    <t>UUID</t>
  </si>
  <si>
    <t>Storage</t>
  </si>
  <si>
    <t>sat</t>
  </si>
  <si>
    <t>sun</t>
  </si>
  <si>
    <t>mon</t>
  </si>
  <si>
    <t>tue</t>
  </si>
  <si>
    <t>wed</t>
  </si>
  <si>
    <t>fri</t>
  </si>
  <si>
    <t>Ansible</t>
  </si>
  <si>
    <t>fde030bb-bbb9-a7a2-3097-18763c9aa875</t>
  </si>
  <si>
    <t>File Server 2012 R2</t>
  </si>
  <si>
    <t>fa7eea0e-e585-2d78-0690-4cc66dac0b96</t>
  </si>
  <si>
    <t>imapsync</t>
  </si>
  <si>
    <t>a2ac7d8b-c064-faab-142d-e5443878f57b</t>
  </si>
  <si>
    <t>Primary Domain Controller</t>
  </si>
  <si>
    <t>c739d128-0f62-4b6a-251a-0255bbc29fdb</t>
  </si>
  <si>
    <t>Rsyslog Server</t>
  </si>
  <si>
    <t>868b0da1-f889-d475-7b32-2961cdca4cac</t>
  </si>
  <si>
    <t>Web Server 2</t>
  </si>
  <si>
    <t>97421c95-7f9f-2c15-0761-5ae9beaa9490</t>
  </si>
  <si>
    <t>Wi-Fi Controller 2</t>
  </si>
  <si>
    <t>437bc252-be98-e684-7825-379dc1829044</t>
  </si>
  <si>
    <t>Zabbix 5</t>
  </si>
  <si>
    <t>6fc92bd9-a74f-4df1-1590-81a1d3828932</t>
  </si>
  <si>
    <t>Carbonio Mail</t>
  </si>
  <si>
    <t>2e6ac288-f32c-90a6-d0a8-b9e691b08d73</t>
  </si>
  <si>
    <t>License Manager 1</t>
  </si>
  <si>
    <t>3d5842bd-45c2-7d99-6a6e-c1a13aaea0da</t>
  </si>
  <si>
    <t>PostgreSQL Server 1</t>
  </si>
  <si>
    <t>1e766823-eacd-a5b4-29bf-21be931c3b49</t>
  </si>
  <si>
    <t>Tessa</t>
  </si>
  <si>
    <t>9992fecb-5258-97e3-d099-87f937d3e12d</t>
  </si>
  <si>
    <t>License Manager 3</t>
  </si>
  <si>
    <t>86dc2185-b670-7cfd-02de-b60afa281c84</t>
  </si>
  <si>
    <t>MySQL Server 3</t>
  </si>
  <si>
    <t>9afea372-252e-7c3d-184c-dca4f4efdbf8</t>
  </si>
  <si>
    <t>Wi-Fi Controller</t>
  </si>
  <si>
    <t>fe3165e3-f1e5-b96d-ebb2-bb1c36a2e902</t>
  </si>
  <si>
    <t>WSUS Server 2012 R2</t>
  </si>
  <si>
    <t>aecba2e6-fb07-7239-4866-302708c35b90</t>
  </si>
  <si>
    <t>ZCS Mail 8.8</t>
  </si>
  <si>
    <t>ffdf2b87-2fd5-32a2-a047-cc324775248f</t>
  </si>
  <si>
    <t>Borg Backup</t>
  </si>
  <si>
    <t>fbcbdf72-afc7-0c2f-ebb6-993d5db1a092</t>
  </si>
  <si>
    <t>Carbonio Proxy</t>
  </si>
  <si>
    <t>cad91aca-9138-bdb0-ff12-abd8a32c2add</t>
  </si>
  <si>
    <t>Git Server</t>
  </si>
  <si>
    <t>8b3af57b-8fb5-46ed-8815-79c1be4d1ad1</t>
  </si>
  <si>
    <t>MS SQL Server 1</t>
  </si>
  <si>
    <t>6f982251-e19d-9207-332e-d7087b3e86b2</t>
  </si>
  <si>
    <t>Web Apps</t>
  </si>
  <si>
    <t>84d86a92-f569-a23b-9c3f-c9c35c6f210b</t>
  </si>
  <si>
    <t>Windows 10 (Octagram)</t>
  </si>
  <si>
    <t>416d4f59-2b68-1164-fa75-94106bf832d3</t>
  </si>
  <si>
    <t>ZCS Proxy 8.8</t>
  </si>
  <si>
    <t>f7d0410a-c975-a022-3475-1b4d592e2fab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</si>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</sst>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I18" sqref="I18"/>
    </sheetView>
  </sheetViews>
  <sheetFormatPr defaultRowHeight="15" x14ac:dyDescent="0.25"/>
  <cols>
    <col min="1" max="1" width="25" bestFit="1" customWidth="1"/>
    <col min="2" max="2" width="37.28515625" bestFit="1" customWidth="1"/>
    <col min="3" max="10" width="9.140625" style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</row>
    <row r="2" spans="1:10" x14ac:dyDescent="0.25">
      <c r="A2" t="s">
        <v>9</v>
      </c>
      <c r="B2" t="s">
        <v>10</v>
      </c>
      <c r="C2" s="1">
        <v>40</v>
      </c>
      <c r="I2" s="1">
        <f>$C2</f>
        <v>40</v>
      </c>
    </row>
    <row r="3" spans="1:10" x14ac:dyDescent="0.25">
      <c r="A3" t="s">
        <v>43</v>
      </c>
      <c r="B3" t="s">
        <v>44</v>
      </c>
      <c r="C3" s="1">
        <f>40+100</f>
        <v>140</v>
      </c>
    </row>
    <row r="4" spans="1:10" x14ac:dyDescent="0.25">
      <c r="A4" t="s">
        <v>25</v>
      </c>
      <c r="B4" t="s">
        <v>26</v>
      </c>
      <c r="C4" s="1">
        <f>40+500</f>
        <v>540</v>
      </c>
      <c r="G4" s="1">
        <f>$C4</f>
        <v>540</v>
      </c>
    </row>
    <row r="5" spans="1:10" x14ac:dyDescent="0.25">
      <c r="A5" t="s">
        <v>45</v>
      </c>
      <c r="B5" t="s">
        <v>46</v>
      </c>
      <c r="C5" s="1">
        <v>40</v>
      </c>
      <c r="G5" s="1">
        <f>$C5</f>
        <v>40</v>
      </c>
    </row>
    <row r="6" spans="1:10" x14ac:dyDescent="0.25">
      <c r="A6" t="s">
        <v>11</v>
      </c>
      <c r="B6" t="s">
        <v>12</v>
      </c>
      <c r="C6" s="1">
        <f>40+300+2000+50+200+300</f>
        <v>2890</v>
      </c>
      <c r="D6" s="1">
        <f>$C6</f>
        <v>2890</v>
      </c>
    </row>
    <row r="7" spans="1:10" x14ac:dyDescent="0.25">
      <c r="A7" t="s">
        <v>47</v>
      </c>
      <c r="B7" t="s">
        <v>48</v>
      </c>
      <c r="C7" s="1">
        <f>10+10</f>
        <v>20</v>
      </c>
      <c r="I7" s="1">
        <f>$C7</f>
        <v>20</v>
      </c>
    </row>
    <row r="8" spans="1:10" x14ac:dyDescent="0.25">
      <c r="A8" t="s">
        <v>13</v>
      </c>
      <c r="B8" t="s">
        <v>14</v>
      </c>
      <c r="C8" s="1">
        <v>40</v>
      </c>
      <c r="I8" s="1">
        <f>$C8</f>
        <v>40</v>
      </c>
    </row>
    <row r="9" spans="1:10" x14ac:dyDescent="0.25">
      <c r="A9" t="s">
        <v>27</v>
      </c>
      <c r="B9" t="s">
        <v>28</v>
      </c>
      <c r="C9" s="1">
        <v>10</v>
      </c>
    </row>
    <row r="10" spans="1:10" x14ac:dyDescent="0.25">
      <c r="A10" t="s">
        <v>33</v>
      </c>
      <c r="B10" t="s">
        <v>34</v>
      </c>
      <c r="C10" s="1">
        <v>20</v>
      </c>
    </row>
    <row r="11" spans="1:10" x14ac:dyDescent="0.25">
      <c r="A11" t="s">
        <v>49</v>
      </c>
      <c r="B11" t="s">
        <v>50</v>
      </c>
      <c r="C11" s="1">
        <f>20+100</f>
        <v>120</v>
      </c>
      <c r="I11" s="1">
        <f>$C11</f>
        <v>120</v>
      </c>
    </row>
    <row r="12" spans="1:10" x14ac:dyDescent="0.25">
      <c r="A12" t="s">
        <v>35</v>
      </c>
      <c r="B12" t="s">
        <v>36</v>
      </c>
      <c r="C12" s="1">
        <f>20+50</f>
        <v>70</v>
      </c>
      <c r="I12" s="1">
        <f>$C12</f>
        <v>70</v>
      </c>
    </row>
    <row r="13" spans="1:10" x14ac:dyDescent="0.25">
      <c r="A13" t="s">
        <v>29</v>
      </c>
      <c r="B13" s="2" t="s">
        <v>30</v>
      </c>
      <c r="C13" s="1">
        <f>40+100</f>
        <v>140</v>
      </c>
      <c r="I13" s="1">
        <f>$C13</f>
        <v>140</v>
      </c>
    </row>
    <row r="14" spans="1:10" x14ac:dyDescent="0.25">
      <c r="A14" t="s">
        <v>15</v>
      </c>
      <c r="B14" t="s">
        <v>16</v>
      </c>
      <c r="C14" s="1">
        <v>40</v>
      </c>
      <c r="D14" s="1">
        <f>$C14</f>
        <v>40</v>
      </c>
    </row>
    <row r="15" spans="1:10" x14ac:dyDescent="0.25">
      <c r="A15" t="s">
        <v>17</v>
      </c>
      <c r="B15" t="s">
        <v>18</v>
      </c>
      <c r="C15" s="1">
        <f>20+100</f>
        <v>120</v>
      </c>
      <c r="I15" s="1">
        <f>$C15</f>
        <v>120</v>
      </c>
    </row>
    <row r="16" spans="1:10" x14ac:dyDescent="0.25">
      <c r="A16" t="s">
        <v>31</v>
      </c>
      <c r="B16" t="s">
        <v>32</v>
      </c>
      <c r="C16" s="1">
        <f>40+100</f>
        <v>140</v>
      </c>
    </row>
    <row r="17" spans="1:11" x14ac:dyDescent="0.25">
      <c r="A17" t="s">
        <v>51</v>
      </c>
      <c r="B17" t="s">
        <v>52</v>
      </c>
      <c r="C17" s="1">
        <v>40</v>
      </c>
    </row>
    <row r="18" spans="1:11" x14ac:dyDescent="0.25">
      <c r="A18" t="s">
        <v>19</v>
      </c>
      <c r="B18" t="s">
        <v>20</v>
      </c>
      <c r="C18" s="1">
        <f>20+20+20</f>
        <v>60</v>
      </c>
      <c r="I18" s="1">
        <f>$C18</f>
        <v>60</v>
      </c>
    </row>
    <row r="19" spans="1:11" x14ac:dyDescent="0.25">
      <c r="A19" t="s">
        <v>37</v>
      </c>
      <c r="B19" t="s">
        <v>38</v>
      </c>
      <c r="C19" s="1">
        <v>40</v>
      </c>
    </row>
    <row r="20" spans="1:11" x14ac:dyDescent="0.25">
      <c r="A20" t="s">
        <v>21</v>
      </c>
      <c r="B20" t="s">
        <v>22</v>
      </c>
      <c r="C20" s="1">
        <v>40</v>
      </c>
    </row>
    <row r="21" spans="1:11" x14ac:dyDescent="0.25">
      <c r="A21" t="s">
        <v>53</v>
      </c>
      <c r="B21" t="s">
        <v>54</v>
      </c>
      <c r="C21" s="1">
        <v>100</v>
      </c>
    </row>
    <row r="22" spans="1:11" x14ac:dyDescent="0.25">
      <c r="A22" t="s">
        <v>39</v>
      </c>
      <c r="B22" t="s">
        <v>40</v>
      </c>
      <c r="C22" s="1">
        <f>100+1500</f>
        <v>1600</v>
      </c>
    </row>
    <row r="23" spans="1:11" x14ac:dyDescent="0.25">
      <c r="A23" t="s">
        <v>23</v>
      </c>
      <c r="B23" t="s">
        <v>24</v>
      </c>
      <c r="C23" s="1">
        <v>20</v>
      </c>
    </row>
    <row r="24" spans="1:11" x14ac:dyDescent="0.25">
      <c r="A24" t="s">
        <v>41</v>
      </c>
      <c r="B24" t="s">
        <v>42</v>
      </c>
      <c r="C24" s="1">
        <f>40+500</f>
        <v>540</v>
      </c>
      <c r="F24" s="1">
        <f>$C24</f>
        <v>540</v>
      </c>
    </row>
    <row r="25" spans="1:11" x14ac:dyDescent="0.25">
      <c r="A25" t="s">
        <v>55</v>
      </c>
      <c r="B25" t="s">
        <v>56</v>
      </c>
      <c r="C25" s="1">
        <v>40</v>
      </c>
      <c r="F25" s="1">
        <f>$C25</f>
        <v>40</v>
      </c>
    </row>
    <row r="26" spans="1:11" x14ac:dyDescent="0.25">
      <c r="C26" s="1">
        <f>SUM(C2:C25)</f>
        <v>6850</v>
      </c>
      <c r="D26" s="1">
        <f t="shared" ref="D26:J26" si="0">SUM(D2:D25)</f>
        <v>2930</v>
      </c>
      <c r="E26" s="1">
        <f t="shared" si="0"/>
        <v>0</v>
      </c>
      <c r="F26" s="1">
        <f t="shared" si="0"/>
        <v>580</v>
      </c>
      <c r="G26" s="1">
        <f t="shared" si="0"/>
        <v>580</v>
      </c>
      <c r="H26" s="1">
        <f t="shared" si="0"/>
        <v>0</v>
      </c>
      <c r="I26" s="1">
        <f t="shared" si="0"/>
        <v>610</v>
      </c>
      <c r="J26" s="1">
        <f t="shared" si="0"/>
        <v>0</v>
      </c>
      <c r="K26" s="1">
        <f>SUM(D26:J26)</f>
        <v>4700</v>
      </c>
    </row>
  </sheetData>
  <sortState xmlns:xlrd2="http://schemas.microsoft.com/office/spreadsheetml/2017/richdata2" ref="A2:J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Макалкин Михаил Юрьевич</dc:creator>
  <cp:lastModifiedBy>Макалкин Михаил Юрьевич</cp:lastModifiedBy>
  <dcterms:created xsi:type="dcterms:W3CDTF">2015-06-05T18:19:34Z</dcterms:created>
  <dcterms:modified xsi:type="dcterms:W3CDTF">2024-08-07T12:15:05Z</dcterms:modified>
</cp:coreProperties>
</file>